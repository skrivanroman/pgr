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Ostrá verze" sheetId="1" r:id="rId4"/>
    <sheet state="visible" name="List 2" sheetId="2" r:id="rId5"/>
  </sheets>
  <definedNames/>
  <calcPr/>
  <extLst>
    <ext uri="GoogleSheetsCustomDataVersion2">
      <go:sheetsCustomData xmlns:go="http://customooxmlschemas.google.com/" r:id="rId6" roundtripDataChecksum="ONGuI/qdzJ++P9yQG+74JQ8PgFrw8tuPf07RzXhpcYQ="/>
    </ext>
  </extLst>
</workbook>
</file>

<file path=xl/sharedStrings.xml><?xml version="1.0" encoding="utf-8"?>
<sst xmlns="http://schemas.openxmlformats.org/spreadsheetml/2006/main" count="125" uniqueCount="125">
  <si>
    <t>Projekt - požadavky a bodování</t>
  </si>
  <si>
    <t>Úkol</t>
  </si>
  <si>
    <t>povinné body</t>
  </si>
  <si>
    <t>bonus
PLUS</t>
  </si>
  <si>
    <t>bonus
NAHRAĎ</t>
  </si>
  <si>
    <t>max za podúlohu</t>
  </si>
  <si>
    <t>Min za úlohu</t>
  </si>
  <si>
    <t>Max za úlohu</t>
  </si>
  <si>
    <t>Sum:</t>
  </si>
  <si>
    <t>Coding style - vrácení úlohy POVINNÉ</t>
  </si>
  <si>
    <t>- jednotný v celém projektu</t>
  </si>
  <si>
    <t>- samovysvětlující jména proměnných a procedur (winX místo a1)</t>
  </si>
  <si>
    <t>- komentáře doxygen v angličtině - pokud to není jasné z názvu a to pouze u:</t>
  </si>
  <si>
    <t>--- deklarací proměnných a konstant</t>
  </si>
  <si>
    <t xml:space="preserve">--- deklarací funkcí a procedur </t>
  </si>
  <si>
    <t>--- všech parametrů</t>
  </si>
  <si>
    <t>- členění kódu do modulů, souborů .cpp a .h, tříd, funkcí a procedur (procedura typicky na jednu obrazovku)</t>
  </si>
  <si>
    <t>- čitelnost</t>
  </si>
  <si>
    <t>- porozumění vlastnímu kódu (orientace v projektu, umět změnit něco dle požadavku)</t>
  </si>
  <si>
    <t>Geometrické objekty s normálami a texturovacími souřadnicemi (export z jiného předmětu nebo úplně nový objekt, minimálně jeden vlastnoruční s více než 30-ti trojúhelníky, zbytek pouze volně dostupné)</t>
  </si>
  <si>
    <r>
      <rPr>
        <rFont val="Arial"/>
        <color theme="1"/>
      </rPr>
      <t>1. hardcode v src  - min s 30-ti trojúhelníky</t>
    </r>
    <r>
      <rPr>
        <rFont val="Arial"/>
        <color rgb="FFFF0000"/>
      </rPr>
      <t xml:space="preserve"> </t>
    </r>
    <r>
      <rPr>
        <rFont val="Arial"/>
        <b/>
        <color rgb="FF0000FF"/>
      </rPr>
      <t>(pole atributů -&gt; VBO -&gt; VAO -&gt; kreslení)</t>
    </r>
    <r>
      <rPr>
        <rFont val="Arial"/>
        <color theme="1"/>
      </rPr>
      <t xml:space="preserve">
</t>
    </r>
  </si>
  <si>
    <t>2. procedurálně generovaný dle zadaných parametrů</t>
  </si>
  <si>
    <t>3. načtený ze souboru vlastním loaderem (bez knihovny assimp)</t>
  </si>
  <si>
    <t>4. dynamický objekt (změna geometrie ve vertex shaderu - jiný než havran či nafukovací konvička)</t>
  </si>
  <si>
    <t>5. poloprůhledné objekty (správné pořadí vykreslování, jiné než objekty pouzité pro dynamickou a pohyblivou texturu, alespoň 3 objekty)</t>
  </si>
  <si>
    <t>Scéna podle zadání sem. práce</t>
  </si>
  <si>
    <t>a) kompletní scéna s dummy objekty</t>
  </si>
  <si>
    <t>b) složitější (nad 10 různých objektů s různými materiály)</t>
  </si>
  <si>
    <t>Obsluha klávesnice</t>
  </si>
  <si>
    <t>1. šipky (např. pohyb kamery)</t>
  </si>
  <si>
    <t>2. písmenné znaky</t>
  </si>
  <si>
    <t>3. funkční klávesy</t>
  </si>
  <si>
    <t>4. tabulky kláves na kombinace kláves</t>
  </si>
  <si>
    <t>Obsluha myši</t>
  </si>
  <si>
    <t>1. kliknutí - zpracování pozice na obrazovce 
    (více bodů viz Interaktivita aplikace / výběr objektu-picking)</t>
  </si>
  <si>
    <t>2. pohyb (např. rozhlížení kamery)</t>
  </si>
  <si>
    <t xml:space="preserve">3. drag - kliknutí a posun </t>
  </si>
  <si>
    <t>Definice kamery</t>
  </si>
  <si>
    <t>1. 2x statický pohled + volná kamera (rozhlížení a pohyb) - přepnutí ze statického pohledu na volnou kameru bez skoku!!</t>
  </si>
  <si>
    <t>2. dynamická kamera (pohled z pohybujícího se objektu, autíčka)</t>
  </si>
  <si>
    <t>3. dynamická kamera po nějaké spline křivce (ne po kružnici a elipse, křivka bude jiná než v bodě 16)</t>
  </si>
  <si>
    <t>Světelné zdroje - parametry</t>
  </si>
  <si>
    <t>a) hardcode v shaderech (reflektor s kamerou)</t>
  </si>
  <si>
    <t>b) parametry přes proměnné uniform (min. 5 parametrů, např.poloha, směr, intensita)</t>
  </si>
  <si>
    <t>Světelné zdoje - typy</t>
  </si>
  <si>
    <t>1. směrové</t>
  </si>
  <si>
    <t>2. bodové (včetně útlumu)</t>
  </si>
  <si>
    <t>3. reflektor</t>
  </si>
  <si>
    <t>Materiály (aspoň tři různé, na různých objektech)</t>
  </si>
  <si>
    <t>a) hardcode v shaderu</t>
  </si>
  <si>
    <t xml:space="preserve">b) přes uniform </t>
  </si>
  <si>
    <t>Konfigurovatelnost aplikace (pozice a počet objektů, kontrolní body křivek pro animaci, textura skyboxu, atd., min 5 hodnot, lze vynechat, kontrola korektnosti)</t>
  </si>
  <si>
    <t>a) konfigurační konstanty ve zdrojáku (parametry.h)</t>
  </si>
  <si>
    <t>b) konfigurační soubor načtený po startu</t>
  </si>
  <si>
    <t>c) konfigurační soubor načtený po stisku tlačítka reload (nebo stisk klávesy)</t>
  </si>
  <si>
    <t>Osvětlovací model - povinný Phong</t>
  </si>
  <si>
    <t>a) per vertex (VS) - ne copy/paste z asteroidů</t>
  </si>
  <si>
    <t>b) per pixel (FS) - ne copy/paste z asteroidů</t>
  </si>
  <si>
    <t>c) jiný složitější osvětlovací model (per pixel)</t>
  </si>
  <si>
    <t>d) nebo NPR - šrafování pro guruy (per pixel)</t>
  </si>
  <si>
    <t>Textury (použít minimálně na vlastní objekt)</t>
  </si>
  <si>
    <t>a) vynásobení difúzní složky texturou (modulate)</t>
  </si>
  <si>
    <t>b) multitexturing - kombinace dvou materiálů (zeď a na ní tráva)</t>
  </si>
  <si>
    <t>c) jeden materiál zadaný dvěma texturami (difúzní a spekulární textura)</t>
  </si>
  <si>
    <t>d) normálové mapy a mapa okolí</t>
  </si>
  <si>
    <t>e) kombinace dvou mapování v jednom shaderu (třeba i mapa okolí + difúzní textura)</t>
  </si>
  <si>
    <t>Skybox a skydome (neosvětlovat je!!!)</t>
  </si>
  <si>
    <t>a) krychle kolem scény napevno ve scéně</t>
  </si>
  <si>
    <t>b) relativně vůči kameře (odstraní translaci v prostoru kamery)</t>
  </si>
  <si>
    <t>c) spočítat rohy projekce pozadí + přes celou obrazovku pohled v tomto směru do cube mapy (navíc inverzní transformace)</t>
  </si>
  <si>
    <t xml:space="preserve">
</t>
  </si>
  <si>
    <t>Pohybující se textura (změna texturovacích souřadnic s časem)</t>
  </si>
  <si>
    <t>a) bez matice - posun napevno v shaderu (plovoucí ryba)</t>
  </si>
  <si>
    <t>b) obecnou maticí (složení alespoň dvou transformací)</t>
  </si>
  <si>
    <t>Dynamická (animovaná) textura (film)</t>
  </si>
  <si>
    <t>a) sada obrázků (sada textur - pracné)</t>
  </si>
  <si>
    <t>b) jedna velká textura (m x n obrázků - mít správně mapovací funkci)</t>
  </si>
  <si>
    <t>Animace objektu (autíčko, raketa, ...)</t>
  </si>
  <si>
    <t>a) po kružnici či elipse (změna pozice + natočení objektu)</t>
  </si>
  <si>
    <t>b) po obecné parametrické křivce - Catmull-Rom (změna pozice + natočení objektu)</t>
  </si>
  <si>
    <t>c) po obecné parametrické křivce - jiný typ (změna pozice + natočení objektu)</t>
  </si>
  <si>
    <t xml:space="preserve">1. s využitím kvaternionů (nejen přímé použití glm, ale i skládání) </t>
  </si>
  <si>
    <t>2. hierarchie transformací (min. 3 úrovně - např. rameno robota)</t>
  </si>
  <si>
    <t>Mlha</t>
  </si>
  <si>
    <t xml:space="preserve">a) lineární v závislosti na vzdálenosti od kamery (vzoreček z přednášky) </t>
  </si>
  <si>
    <t>b) exponenciální v závislosti na vzdálenosti od kamery (vzoreček z přednášky)</t>
  </si>
  <si>
    <t>c) na něčem jiném - např. v závislosti na výšce terénu, na vzdálenosti k objektu (zář okolo objektu)</t>
  </si>
  <si>
    <t xml:space="preserve">d) textura mlhy  </t>
  </si>
  <si>
    <t>Změna parametrů automaticky s časem (živá scéna)</t>
  </si>
  <si>
    <t>a) proměnlivé parametry světel</t>
  </si>
  <si>
    <t>b) mlhy</t>
  </si>
  <si>
    <t>c) skybox dle denní doby</t>
  </si>
  <si>
    <t>d) pohyb slunce na obloze (např. blend 2 textur)</t>
  </si>
  <si>
    <t>Interaktivita aplikace</t>
  </si>
  <si>
    <t>1. kolize - nevyleze ze scény (test x, y, z), min s jedním objektem dle vzdálenosti</t>
  </si>
  <si>
    <t>2. výběr aspoň tří objektů - picking - kliknutí zapálí auto, spustí animaci, …</t>
  </si>
  <si>
    <t>GUI/Menu</t>
  </si>
  <si>
    <t>1. Menu - aspoň 4 položky (3 pozice kamery, zapínání světel, zapínáná animace,...)</t>
  </si>
  <si>
    <t>a) s využitím knihovny (glut, anttweakbar)</t>
  </si>
  <si>
    <t>b) vlastní menu - obdélníčky s předpřipravenou texturou + click myší</t>
  </si>
  <si>
    <t>2. Fonty - alespoň jedna znaková sada</t>
  </si>
  <si>
    <t>a) psaní textu (předpřipravená jednotlivá písmena)</t>
  </si>
  <si>
    <t>3. Status bar</t>
  </si>
  <si>
    <t>a) jako geometrický objekt (sloupeček jako obdélník v prostoru - billboard, nebo natvrdo v samostatném shaderu, budík a rotate ručička,...)</t>
  </si>
  <si>
    <t>b) zapečené v textuře (např. krvavý HUD při málo zdraví hráče)</t>
  </si>
  <si>
    <t>Graf scény</t>
  </si>
  <si>
    <t>a) kompletně vlastní</t>
  </si>
  <si>
    <t>b) doplnění vlastních uzlů do našeho grafu scény (+ celá scéna v grafu scény)</t>
  </si>
  <si>
    <t xml:space="preserve">Bonusy </t>
  </si>
  <si>
    <t>a) aktivita či kvalita/originalita/pracnost řešení navíc - měšec cvičícího pro paralelku - – body přiděluje cvičící dle svého uvážení</t>
  </si>
  <si>
    <t>b) upload modelů (1 bod za 3 modely, max 3 body)</t>
  </si>
  <si>
    <t>Webová stránka projektu (dle šablony). Povinně obsahuje:</t>
  </si>
  <si>
    <t>1. popis aplikace - 1 odstavec</t>
  </si>
  <si>
    <t>2. tři obrázky - snapshoty</t>
  </si>
  <si>
    <t>3. popis ovládání</t>
  </si>
  <si>
    <t>....    pokud je projekt ve webGL, musí být součástí této stránky</t>
  </si>
  <si>
    <t>Povinné předvedení aplikace na cvičení před ostatními studenty 
(na projektoru, bez dalších slajdů,...), volba 3 nejlepších (5, 4, 3 body za umístění)</t>
  </si>
  <si>
    <t>Poznámky:</t>
  </si>
  <si>
    <t>Body jsou jen za to, co není plagiát z internetu a není zkopírováno z galerie či asteroidů.</t>
  </si>
  <si>
    <t>Student sám předvádí, za co chce body – vyplní sám tabulku – dotazník v googledoc.</t>
  </si>
  <si>
    <t>a,b,c) je volitelné, platí body za nejdražší úlohu .</t>
  </si>
  <si>
    <t>1., 2., 3.,  je povinný bod 1, body za 2. a další podúlohu se přičítají.</t>
  </si>
  <si>
    <t>Celkem je počítáno max 50 bodů za projekt.</t>
  </si>
  <si>
    <t xml:space="preserve">- 17 bodů je za povinné části  </t>
  </si>
  <si>
    <t>- dalších 33 bodů lze získat z množiny volitelných podúloh, kterých je celkem za 50 bodů - student je získá podle náročnosti podúlohy, kterou navíc zpracuje.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</si>
</sst>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0">
    <font>
      <sz val="10.0"/>
      <color rgb="FF000000"/>
      <name val="Arial"/>
      <scheme val="minor"/>
    </font>
    <font>
      <b/>
      <sz val="12.0"/>
      <color theme="1"/>
      <name val="Arial"/>
      <scheme val="minor"/>
    </font>
    <font>
      <sz val="10.0"/>
      <color rgb="FFFFFFFF"/>
      <name val="Arial"/>
      <scheme val="minor"/>
    </font>
    <font>
      <color theme="1"/>
      <name val="Arial"/>
      <scheme val="minor"/>
    </font>
    <font>
      <color rgb="FF0000FF"/>
      <name val="Arial"/>
    </font>
    <font>
      <color theme="1"/>
      <name val="Arial"/>
    </font>
    <font>
      <color rgb="FF000000"/>
      <name val="Arial"/>
    </font>
    <font>
      <color rgb="FF0061AF"/>
      <name val="Arial"/>
      <scheme val="minor"/>
    </font>
    <font>
      <color rgb="FF0061AF"/>
      <name val="Arial"/>
    </font>
    <font>
      <b/>
      <color rgb="FF0061AF"/>
      <name val="Arial"/>
      <scheme val="minor"/>
    </font>
  </fonts>
  <fills count="7">
    <fill>
      <patternFill patternType="none"/>
    </fill>
    <fill>
      <patternFill patternType="lightGray"/>
    </fill>
    <fill>
      <patternFill patternType="solid">
        <fgColor rgb="FF0061AF"/>
        <bgColor rgb="FF0061AF"/>
      </patternFill>
    </fill>
    <fill>
      <patternFill patternType="solid">
        <fgColor rgb="FFDDEEFF"/>
        <bgColor rgb="FFDDEEFF"/>
      </patternFill>
    </fill>
    <fill>
      <patternFill patternType="solid">
        <fgColor rgb="FFFFFF00"/>
        <bgColor rgb="FFFFFF00"/>
      </patternFill>
    </fill>
    <fill>
      <patternFill patternType="solid">
        <fgColor rgb="FFFCE5CD"/>
        <bgColor rgb="FFFCE5CD"/>
      </patternFill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21">
    <xf borderId="0" fillId="0" fontId="0" numFmtId="0" xfId="0" applyAlignment="1" applyFont="1">
      <alignment readingOrder="0" shrinkToFit="0" vertical="bottom" wrapText="1"/>
    </xf>
    <xf borderId="0" fillId="0" fontId="1" numFmtId="0" xfId="0" applyAlignment="1" applyFont="1">
      <alignment shrinkToFit="0" wrapText="1"/>
    </xf>
    <xf borderId="0" fillId="2" fontId="2" numFmtId="0" xfId="0" applyAlignment="1" applyFill="1" applyFont="1">
      <alignment shrinkToFit="0" wrapText="1"/>
    </xf>
    <xf borderId="0" fillId="2" fontId="2" numFmtId="0" xfId="0" applyAlignment="1" applyFont="1">
      <alignment horizontal="right" shrinkToFit="0" vertical="bottom" wrapText="1"/>
    </xf>
    <xf borderId="0" fillId="0" fontId="3" numFmtId="0" xfId="0" applyAlignment="1" applyFont="1">
      <alignment shrinkToFit="0" wrapText="1"/>
    </xf>
    <xf borderId="0" fillId="3" fontId="3" numFmtId="0" xfId="0" applyAlignment="1" applyFill="1" applyFont="1">
      <alignment shrinkToFit="0" wrapText="1"/>
    </xf>
    <xf borderId="0" fillId="0" fontId="3" numFmtId="0" xfId="0" applyAlignment="1" applyFont="1">
      <alignment shrinkToFit="0" wrapText="1"/>
    </xf>
    <xf borderId="0" fillId="4" fontId="3" numFmtId="0" xfId="0" applyAlignment="1" applyFill="1" applyFont="1">
      <alignment shrinkToFit="0" wrapText="1"/>
    </xf>
    <xf borderId="0" fillId="0" fontId="3" numFmtId="0" xfId="0" applyAlignment="1" applyFont="1">
      <alignment readingOrder="0" shrinkToFit="0" wrapText="1"/>
    </xf>
    <xf borderId="0" fillId="5" fontId="4" numFmtId="0" xfId="0" applyAlignment="1" applyFill="1" applyFont="1">
      <alignment shrinkToFit="0" vertical="bottom" wrapText="1"/>
    </xf>
    <xf borderId="0" fillId="5" fontId="4" numFmtId="0" xfId="0" applyAlignment="1" applyFont="1">
      <alignment horizontal="right" shrinkToFit="0" vertical="bottom" wrapText="1"/>
    </xf>
    <xf borderId="0" fillId="0" fontId="5" numFmtId="0" xfId="0" applyAlignment="1" applyFont="1">
      <alignment shrinkToFit="0" vertical="bottom" wrapText="1"/>
    </xf>
    <xf borderId="0" fillId="0" fontId="6" numFmtId="0" xfId="0" applyAlignment="1" applyFont="1">
      <alignment shrinkToFit="0" vertical="bottom" wrapText="1"/>
    </xf>
    <xf borderId="0" fillId="0" fontId="5" numFmtId="0" xfId="0" applyAlignment="1" applyFont="1">
      <alignment horizontal="right" shrinkToFit="0" vertical="bottom" wrapText="1"/>
    </xf>
    <xf borderId="0" fillId="3" fontId="7" numFmtId="0" xfId="0" applyAlignment="1" applyFont="1">
      <alignment shrinkToFit="0" wrapText="1"/>
    </xf>
    <xf borderId="0" fillId="3" fontId="8" numFmtId="0" xfId="0" applyAlignment="1" applyFont="1">
      <alignment shrinkToFit="0" vertical="bottom" wrapText="1"/>
    </xf>
    <xf borderId="0" fillId="3" fontId="9" numFmtId="0" xfId="0" applyAlignment="1" applyFont="1">
      <alignment shrinkToFit="0" wrapText="1"/>
    </xf>
    <xf borderId="0" fillId="0" fontId="9" numFmtId="0" xfId="0" applyAlignment="1" applyFont="1">
      <alignment shrinkToFit="0" wrapText="1"/>
    </xf>
    <xf borderId="0" fillId="0" fontId="7" numFmtId="0" xfId="0" applyAlignment="1" applyFont="1">
      <alignment shrinkToFit="0" wrapText="1"/>
    </xf>
    <xf borderId="0" fillId="6" fontId="3" numFmtId="0" xfId="0" applyAlignment="1" applyFill="1" applyFont="1">
      <alignment shrinkToFit="0" wrapText="1"/>
    </xf>
    <xf borderId="0" fillId="6" fontId="7" numFmtId="0" xfId="0" applyAlignment="1" applyFont="1">
      <alignment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2.63" defaultRowHeight="15.0"/>
  <cols>
    <col customWidth="1" min="1" max="1" width="4.38"/>
    <col customWidth="1" min="2" max="2" width="63.38"/>
    <col customWidth="1" min="3" max="3" width="7.0"/>
    <col customWidth="1" min="4" max="4" width="5.63"/>
    <col customWidth="1" min="5" max="5" width="7.88"/>
    <col customWidth="1" min="6" max="6" width="7.25"/>
    <col customWidth="1" min="7" max="7" width="6.75"/>
    <col customWidth="1" min="8" max="8" width="7.13"/>
  </cols>
  <sheetData>
    <row r="1" ht="12.75" customHeight="1">
      <c r="B1" s="1" t="s">
        <v>0</v>
      </c>
    </row>
    <row r="2" ht="12.75" customHeight="1">
      <c r="A2" s="2"/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2" t="s">
        <v>6</v>
      </c>
      <c r="H2" s="2" t="s">
        <v>7</v>
      </c>
    </row>
    <row r="3" ht="12.75" customHeight="1">
      <c r="A3" s="2"/>
      <c r="B3" s="3" t="s">
        <v>8</v>
      </c>
      <c r="C3" s="2">
        <f>SUM(C4:C146)</f>
        <v>18</v>
      </c>
      <c r="D3" s="2"/>
      <c r="E3" s="2"/>
      <c r="F3" s="2"/>
      <c r="G3" s="2">
        <f t="shared" ref="G3:I3" si="1">SUM(G4:G146)</f>
        <v>18</v>
      </c>
      <c r="H3" s="2">
        <f t="shared" si="1"/>
        <v>67</v>
      </c>
      <c r="I3" s="4">
        <f t="shared" si="1"/>
        <v>15</v>
      </c>
    </row>
    <row r="4" ht="12.75" customHeight="1">
      <c r="A4" s="5">
        <v>1.0</v>
      </c>
      <c r="B4" s="5" t="s">
        <v>9</v>
      </c>
      <c r="C4" s="5">
        <v>0.0</v>
      </c>
      <c r="D4" s="5"/>
      <c r="E4" s="5"/>
      <c r="F4" s="5">
        <f t="shared" ref="F4:F10" si="2">if(n(E4),E4,sum(C4:D4))</f>
        <v>0</v>
      </c>
      <c r="G4" s="5">
        <f>sum(C4:C14)</f>
        <v>0</v>
      </c>
      <c r="H4" s="5">
        <v>0.0</v>
      </c>
    </row>
    <row r="5" ht="12.75" customHeight="1">
      <c r="B5" s="6" t="s">
        <v>10</v>
      </c>
      <c r="C5" s="6">
        <v>0.0</v>
      </c>
      <c r="F5" s="6">
        <f t="shared" si="2"/>
        <v>0</v>
      </c>
    </row>
    <row r="6" ht="12.75" customHeight="1">
      <c r="B6" s="6" t="s">
        <v>11</v>
      </c>
      <c r="C6" s="6">
        <v>0.0</v>
      </c>
      <c r="F6" s="6">
        <f t="shared" si="2"/>
        <v>0</v>
      </c>
    </row>
    <row r="7" ht="12.75" customHeight="1">
      <c r="B7" s="6" t="s">
        <v>12</v>
      </c>
      <c r="C7" s="6">
        <v>0.0</v>
      </c>
      <c r="F7" s="6">
        <f t="shared" si="2"/>
        <v>0</v>
      </c>
    </row>
    <row r="8" ht="12.75" customHeight="1">
      <c r="B8" s="6" t="s">
        <v>13</v>
      </c>
      <c r="C8" s="6">
        <v>0.0</v>
      </c>
      <c r="F8" s="6">
        <f t="shared" si="2"/>
        <v>0</v>
      </c>
    </row>
    <row r="9" ht="12.75" customHeight="1">
      <c r="B9" s="6" t="s">
        <v>14</v>
      </c>
      <c r="C9" s="6">
        <v>0.0</v>
      </c>
      <c r="F9" s="6">
        <f t="shared" si="2"/>
        <v>0</v>
      </c>
    </row>
    <row r="10" ht="12.75" customHeight="1">
      <c r="B10" s="6" t="s">
        <v>15</v>
      </c>
      <c r="C10" s="6">
        <v>0.0</v>
      </c>
      <c r="F10" s="6">
        <f t="shared" si="2"/>
        <v>0</v>
      </c>
    </row>
    <row r="11" ht="12.75" customHeight="1">
      <c r="B11" s="6"/>
      <c r="C11" s="6"/>
      <c r="F11" s="6"/>
    </row>
    <row r="12" ht="12.75" customHeight="1">
      <c r="B12" s="6" t="s">
        <v>16</v>
      </c>
      <c r="C12" s="6">
        <v>0.0</v>
      </c>
      <c r="F12" s="6">
        <f t="shared" ref="F12:F14" si="3">if(n(E12),E12,sum(C12:D12))</f>
        <v>0</v>
      </c>
    </row>
    <row r="13" ht="12.75" customHeight="1">
      <c r="B13" s="6" t="s">
        <v>17</v>
      </c>
      <c r="C13" s="6">
        <v>0.0</v>
      </c>
      <c r="F13" s="6">
        <f t="shared" si="3"/>
        <v>0</v>
      </c>
    </row>
    <row r="14" ht="12.75" customHeight="1">
      <c r="B14" s="6" t="s">
        <v>18</v>
      </c>
      <c r="C14" s="6">
        <v>0.0</v>
      </c>
      <c r="F14" s="6">
        <f t="shared" si="3"/>
        <v>0</v>
      </c>
    </row>
    <row r="15" ht="12.75" customHeight="1"/>
    <row r="16" ht="12.75" customHeight="1">
      <c r="A16" s="5">
        <v>2.0</v>
      </c>
      <c r="B16" s="5" t="s">
        <v>19</v>
      </c>
      <c r="C16" s="5"/>
      <c r="D16" s="5"/>
      <c r="E16" s="5"/>
      <c r="F16" s="5"/>
      <c r="G16" s="5">
        <f>SUM(C17:C19)</f>
        <v>1</v>
      </c>
      <c r="H16" s="5">
        <f>SUM(F17:F21)</f>
        <v>10</v>
      </c>
    </row>
    <row r="17" ht="27.0" customHeight="1">
      <c r="B17" s="6" t="s">
        <v>20</v>
      </c>
      <c r="C17" s="7">
        <v>1.0</v>
      </c>
      <c r="F17" s="6">
        <f>if(n(E17),E17,sum(C17:D17))</f>
        <v>1</v>
      </c>
      <c r="H17" s="8"/>
    </row>
    <row r="18" ht="12.75" customHeight="1">
      <c r="B18" s="6" t="s">
        <v>21</v>
      </c>
      <c r="D18" s="6">
        <v>2.0</v>
      </c>
      <c r="F18" s="6">
        <f t="shared" ref="F18:F19" si="4">if(n(D18),D18,sum(C18:D18))</f>
        <v>2</v>
      </c>
    </row>
    <row r="19" ht="12.75" customHeight="1">
      <c r="B19" s="6" t="s">
        <v>22</v>
      </c>
      <c r="D19" s="6">
        <v>3.0</v>
      </c>
      <c r="F19" s="6">
        <f t="shared" si="4"/>
        <v>3</v>
      </c>
    </row>
    <row r="20" ht="12.75" customHeight="1">
      <c r="B20" s="9" t="s">
        <v>23</v>
      </c>
      <c r="C20" s="9"/>
      <c r="D20" s="10">
        <v>2.0</v>
      </c>
      <c r="E20" s="9"/>
      <c r="F20" s="10">
        <v>2.0</v>
      </c>
    </row>
    <row r="21" ht="12.75" customHeight="1">
      <c r="B21" s="9" t="s">
        <v>24</v>
      </c>
      <c r="C21" s="9"/>
      <c r="D21" s="10">
        <v>2.0</v>
      </c>
      <c r="E21" s="9"/>
      <c r="F21" s="10">
        <v>2.0</v>
      </c>
    </row>
    <row r="22" ht="12.75" customHeight="1"/>
    <row r="23" ht="12.75" customHeight="1">
      <c r="A23" s="5">
        <v>3.0</v>
      </c>
      <c r="B23" s="5" t="s">
        <v>25</v>
      </c>
      <c r="C23" s="5"/>
      <c r="D23" s="5"/>
      <c r="E23" s="5"/>
      <c r="F23" s="5"/>
      <c r="G23" s="5">
        <f>sum(C25:C26)</f>
        <v>0</v>
      </c>
      <c r="H23" s="5">
        <f>max(F25:F26)</f>
        <v>3</v>
      </c>
    </row>
    <row r="24" ht="12.75" customHeight="1">
      <c r="B24" s="6" t="s">
        <v>26</v>
      </c>
      <c r="C24" s="7">
        <v>0.0</v>
      </c>
      <c r="I24" s="8">
        <v>0.0</v>
      </c>
    </row>
    <row r="25" ht="12.75" customHeight="1">
      <c r="B25" s="6" t="s">
        <v>27</v>
      </c>
      <c r="E25" s="6">
        <v>3.0</v>
      </c>
      <c r="F25" s="6">
        <f>if(n(E25),E25,sum(C25:D25))</f>
        <v>3</v>
      </c>
    </row>
    <row r="26" ht="12.75" customHeight="1"/>
    <row r="27" ht="12.75" customHeight="1">
      <c r="A27" s="5">
        <v>4.0</v>
      </c>
      <c r="B27" s="5" t="s">
        <v>28</v>
      </c>
      <c r="C27" s="5"/>
      <c r="D27" s="5"/>
      <c r="E27" s="5"/>
      <c r="F27" s="5"/>
      <c r="G27" s="5">
        <f>SUM(C28:C31)</f>
        <v>0</v>
      </c>
      <c r="H27" s="5">
        <f>sum(F28:F31)</f>
        <v>1</v>
      </c>
    </row>
    <row r="28" ht="12.75" customHeight="1">
      <c r="B28" s="6" t="s">
        <v>29</v>
      </c>
      <c r="C28" s="7">
        <v>0.0</v>
      </c>
      <c r="F28" s="6">
        <f t="shared" ref="F28:F31" si="5">if(n(E28),E28,sum(C28:D28))</f>
        <v>0</v>
      </c>
      <c r="I28" s="8">
        <v>0.0</v>
      </c>
    </row>
    <row r="29" ht="12.75" customHeight="1">
      <c r="B29" s="6" t="s">
        <v>30</v>
      </c>
      <c r="C29" s="7">
        <v>0.0</v>
      </c>
      <c r="F29" s="6">
        <f t="shared" si="5"/>
        <v>0</v>
      </c>
      <c r="I29" s="8">
        <v>0.0</v>
      </c>
    </row>
    <row r="30" ht="12.75" customHeight="1">
      <c r="B30" s="6" t="s">
        <v>31</v>
      </c>
      <c r="C30" s="7">
        <v>0.0</v>
      </c>
      <c r="F30" s="6">
        <f t="shared" si="5"/>
        <v>0</v>
      </c>
    </row>
    <row r="31" ht="12.75" customHeight="1">
      <c r="B31" s="6" t="s">
        <v>32</v>
      </c>
      <c r="D31" s="6">
        <v>1.0</v>
      </c>
      <c r="F31" s="6">
        <f t="shared" si="5"/>
        <v>1</v>
      </c>
    </row>
    <row r="32" ht="12.75" customHeight="1"/>
    <row r="33" ht="12.75" customHeight="1">
      <c r="A33" s="5">
        <v>5.0</v>
      </c>
      <c r="B33" s="5" t="s">
        <v>33</v>
      </c>
      <c r="C33" s="5"/>
      <c r="D33" s="5"/>
      <c r="E33" s="5"/>
      <c r="F33" s="5"/>
      <c r="G33" s="5">
        <f>SUM(C34:C36)</f>
        <v>0</v>
      </c>
      <c r="H33" s="5">
        <f>sum(F34:F37)</f>
        <v>1</v>
      </c>
    </row>
    <row r="34" ht="12.75" customHeight="1">
      <c r="B34" s="6" t="s">
        <v>34</v>
      </c>
      <c r="C34" s="6">
        <v>0.0</v>
      </c>
      <c r="F34" s="6">
        <f t="shared" ref="F34:F36" si="6">if(n(E34),E34,sum(C34:D34))</f>
        <v>0</v>
      </c>
    </row>
    <row r="35" ht="12.75" customHeight="1">
      <c r="B35" s="6" t="s">
        <v>35</v>
      </c>
      <c r="C35" s="7">
        <v>0.0</v>
      </c>
      <c r="F35" s="6">
        <f t="shared" si="6"/>
        <v>0</v>
      </c>
      <c r="I35" s="8">
        <v>0.0</v>
      </c>
    </row>
    <row r="36" ht="12.75" customHeight="1">
      <c r="B36" s="6" t="s">
        <v>36</v>
      </c>
      <c r="D36" s="6">
        <v>1.0</v>
      </c>
      <c r="F36" s="6">
        <f t="shared" si="6"/>
        <v>1</v>
      </c>
    </row>
    <row r="37" ht="12.75" customHeight="1"/>
    <row r="38" ht="12.75" customHeight="1">
      <c r="A38" s="5">
        <v>6.0</v>
      </c>
      <c r="B38" s="5" t="s">
        <v>37</v>
      </c>
      <c r="C38" s="5"/>
      <c r="D38" s="5"/>
      <c r="E38" s="5"/>
      <c r="F38" s="5"/>
      <c r="G38" s="5">
        <f>SUM(C39:C41)</f>
        <v>1</v>
      </c>
      <c r="H38" s="5">
        <f>sum(F39:F41)</f>
        <v>4</v>
      </c>
    </row>
    <row r="39" ht="12.75" customHeight="1">
      <c r="B39" s="6" t="s">
        <v>38</v>
      </c>
      <c r="C39" s="7">
        <v>1.0</v>
      </c>
      <c r="F39" s="6">
        <f t="shared" ref="F39:F41" si="7">if(n(E39),E39,sum(C39:D39))</f>
        <v>1</v>
      </c>
    </row>
    <row r="40" ht="12.75" customHeight="1">
      <c r="B40" s="6" t="s">
        <v>39</v>
      </c>
      <c r="D40" s="6">
        <v>1.0</v>
      </c>
      <c r="F40" s="6">
        <f t="shared" si="7"/>
        <v>1</v>
      </c>
    </row>
    <row r="41" ht="12.75" customHeight="1">
      <c r="B41" s="6" t="s">
        <v>40</v>
      </c>
      <c r="D41" s="6">
        <v>2.0</v>
      </c>
      <c r="F41" s="6">
        <f t="shared" si="7"/>
        <v>2</v>
      </c>
    </row>
    <row r="42" ht="12.75" customHeight="1"/>
    <row r="43" ht="12.75" customHeight="1">
      <c r="A43" s="5">
        <v>7.0</v>
      </c>
      <c r="B43" s="5" t="s">
        <v>41</v>
      </c>
      <c r="C43" s="5"/>
      <c r="D43" s="5"/>
      <c r="E43" s="5"/>
      <c r="F43" s="5"/>
      <c r="G43" s="5">
        <f>max(C44:C46)</f>
        <v>1</v>
      </c>
      <c r="H43" s="5">
        <f>max(F44:F46)</f>
        <v>3</v>
      </c>
    </row>
    <row r="44" ht="12.75" customHeight="1">
      <c r="B44" s="6" t="s">
        <v>42</v>
      </c>
      <c r="C44" s="6">
        <v>1.0</v>
      </c>
      <c r="F44" s="6">
        <f t="shared" ref="F44:F45" si="8">if(n(E44),E44,sum(C44:D44))</f>
        <v>1</v>
      </c>
    </row>
    <row r="45" ht="12.75" customHeight="1">
      <c r="B45" s="6" t="s">
        <v>43</v>
      </c>
      <c r="E45" s="6">
        <v>3.0</v>
      </c>
      <c r="F45" s="6">
        <f t="shared" si="8"/>
        <v>3</v>
      </c>
      <c r="I45" s="8">
        <v>3.0</v>
      </c>
    </row>
    <row r="46" ht="12.75" customHeight="1"/>
    <row r="47" ht="12.75" customHeight="1">
      <c r="A47" s="5">
        <v>8.0</v>
      </c>
      <c r="B47" s="5" t="s">
        <v>44</v>
      </c>
      <c r="C47" s="5"/>
      <c r="D47" s="5"/>
      <c r="E47" s="5"/>
      <c r="F47" s="5"/>
      <c r="G47" s="5">
        <f>SUM(C48:C50)</f>
        <v>3</v>
      </c>
      <c r="H47" s="5">
        <f>sum(F48:F50)</f>
        <v>3</v>
      </c>
    </row>
    <row r="48" ht="12.75" customHeight="1">
      <c r="B48" s="6" t="s">
        <v>45</v>
      </c>
      <c r="C48" s="6">
        <v>1.0</v>
      </c>
      <c r="F48" s="6">
        <f t="shared" ref="F48:F50" si="9">if(n(E48),E48,sum(C48:D48))</f>
        <v>1</v>
      </c>
      <c r="I48" s="8">
        <v>1.0</v>
      </c>
    </row>
    <row r="49" ht="12.75" customHeight="1">
      <c r="B49" s="6" t="s">
        <v>46</v>
      </c>
      <c r="C49" s="6">
        <v>1.0</v>
      </c>
      <c r="F49" s="6">
        <f t="shared" si="9"/>
        <v>1</v>
      </c>
      <c r="I49" s="8">
        <v>1.0</v>
      </c>
    </row>
    <row r="50" ht="12.75" customHeight="1">
      <c r="B50" s="6" t="s">
        <v>47</v>
      </c>
      <c r="C50" s="6">
        <v>1.0</v>
      </c>
      <c r="F50" s="6">
        <f t="shared" si="9"/>
        <v>1</v>
      </c>
      <c r="I50" s="8">
        <v>1.0</v>
      </c>
    </row>
    <row r="51" ht="12.75" customHeight="1"/>
    <row r="52" ht="12.75" customHeight="1">
      <c r="A52" s="5">
        <v>9.0</v>
      </c>
      <c r="B52" s="5" t="s">
        <v>48</v>
      </c>
      <c r="C52" s="5"/>
      <c r="D52" s="5"/>
      <c r="E52" s="5"/>
      <c r="F52" s="5"/>
      <c r="G52" s="5">
        <f>sum(C53:C54)</f>
        <v>1</v>
      </c>
      <c r="H52" s="5">
        <f>max(F53:F54)</f>
        <v>2</v>
      </c>
    </row>
    <row r="53" ht="12.75" customHeight="1">
      <c r="B53" s="6" t="s">
        <v>49</v>
      </c>
      <c r="C53" s="6">
        <v>1.0</v>
      </c>
      <c r="F53" s="6">
        <f t="shared" ref="F53:F54" si="10">if(n(E53),E53,sum(C53:D53))</f>
        <v>1</v>
      </c>
    </row>
    <row r="54" ht="12.75" customHeight="1">
      <c r="B54" s="6" t="s">
        <v>50</v>
      </c>
      <c r="E54" s="6">
        <v>2.0</v>
      </c>
      <c r="F54" s="6">
        <f t="shared" si="10"/>
        <v>2</v>
      </c>
      <c r="I54" s="8">
        <v>2.0</v>
      </c>
    </row>
    <row r="55" ht="12.75" customHeight="1"/>
    <row r="56" ht="12.75" customHeight="1">
      <c r="A56" s="5">
        <v>10.0</v>
      </c>
      <c r="B56" s="5" t="s">
        <v>51</v>
      </c>
      <c r="C56" s="5"/>
      <c r="D56" s="5"/>
      <c r="E56" s="5"/>
      <c r="F56" s="5"/>
      <c r="G56" s="5">
        <f>sum(C57:C59)</f>
        <v>0</v>
      </c>
      <c r="H56" s="5">
        <f>max(F57:F59)</f>
        <v>2</v>
      </c>
    </row>
    <row r="57" ht="12.75" customHeight="1">
      <c r="B57" s="6" t="s">
        <v>52</v>
      </c>
      <c r="C57" s="6">
        <v>0.0</v>
      </c>
      <c r="F57" s="6">
        <f>if(n(E57),E57,sum(C57:D57))</f>
        <v>0</v>
      </c>
    </row>
    <row r="58" ht="12.75" customHeight="1">
      <c r="B58" s="6" t="s">
        <v>53</v>
      </c>
      <c r="E58" s="6">
        <v>1.0</v>
      </c>
      <c r="F58" s="6">
        <f t="shared" ref="F58:F59" si="11">if(n(E58),E58,sum(C58:E58))</f>
        <v>1</v>
      </c>
    </row>
    <row r="59" ht="12.75" customHeight="1">
      <c r="B59" s="6" t="s">
        <v>54</v>
      </c>
      <c r="E59" s="6">
        <v>2.0</v>
      </c>
      <c r="F59" s="6">
        <f t="shared" si="11"/>
        <v>2</v>
      </c>
    </row>
    <row r="60" ht="12.75" customHeight="1"/>
    <row r="61" ht="12.75" customHeight="1">
      <c r="A61" s="5">
        <v>11.0</v>
      </c>
      <c r="B61" s="5" t="s">
        <v>55</v>
      </c>
      <c r="C61" s="5"/>
      <c r="D61" s="5"/>
      <c r="E61" s="5"/>
      <c r="F61" s="5"/>
      <c r="G61" s="5">
        <f>sum(C62:C64)</f>
        <v>1</v>
      </c>
      <c r="H61" s="5">
        <f>max(F62:F65)</f>
        <v>4</v>
      </c>
    </row>
    <row r="62" ht="12.75" customHeight="1">
      <c r="B62" s="6" t="s">
        <v>56</v>
      </c>
      <c r="C62" s="6">
        <v>1.0</v>
      </c>
      <c r="F62" s="6">
        <f t="shared" ref="F62:F65" si="12">if(n(E62),E62,sum(C62:D62))</f>
        <v>1</v>
      </c>
    </row>
    <row r="63" ht="12.75" customHeight="1">
      <c r="B63" s="6" t="s">
        <v>57</v>
      </c>
      <c r="E63" s="6">
        <v>3.0</v>
      </c>
      <c r="F63" s="6">
        <f t="shared" si="12"/>
        <v>3</v>
      </c>
      <c r="I63" s="8">
        <v>3.0</v>
      </c>
    </row>
    <row r="64" ht="12.75" customHeight="1">
      <c r="B64" s="6" t="s">
        <v>58</v>
      </c>
      <c r="E64" s="6">
        <v>4.0</v>
      </c>
      <c r="F64" s="6">
        <f t="shared" si="12"/>
        <v>4</v>
      </c>
    </row>
    <row r="65" ht="12.75" customHeight="1">
      <c r="B65" s="6" t="s">
        <v>59</v>
      </c>
      <c r="E65" s="6">
        <v>4.0</v>
      </c>
      <c r="F65" s="6">
        <f t="shared" si="12"/>
        <v>4</v>
      </c>
    </row>
    <row r="66" ht="12.75" customHeight="1"/>
    <row r="67" ht="12.75" customHeight="1">
      <c r="A67" s="5">
        <v>12.0</v>
      </c>
      <c r="B67" s="5" t="s">
        <v>60</v>
      </c>
      <c r="C67" s="5"/>
      <c r="D67" s="5"/>
      <c r="E67" s="5"/>
      <c r="F67" s="5"/>
      <c r="G67" s="5">
        <f>sum(C68:C70)</f>
        <v>1</v>
      </c>
      <c r="H67" s="5">
        <f>max(F68:F72)</f>
        <v>4</v>
      </c>
    </row>
    <row r="68" ht="12.75" customHeight="1">
      <c r="B68" s="6" t="s">
        <v>61</v>
      </c>
      <c r="C68" s="6">
        <v>1.0</v>
      </c>
      <c r="F68" s="6">
        <f t="shared" ref="F68:F72" si="13">if(n(E68),E68,sum(C68:D68))</f>
        <v>1</v>
      </c>
      <c r="I68" s="8">
        <v>1.0</v>
      </c>
    </row>
    <row r="69" ht="12.75" customHeight="1">
      <c r="B69" s="6" t="s">
        <v>62</v>
      </c>
      <c r="E69" s="6">
        <v>2.0</v>
      </c>
      <c r="F69" s="6">
        <f t="shared" si="13"/>
        <v>2</v>
      </c>
    </row>
    <row r="70" ht="12.75" customHeight="1">
      <c r="B70" s="6" t="s">
        <v>63</v>
      </c>
      <c r="E70" s="6">
        <v>2.0</v>
      </c>
      <c r="F70" s="6">
        <f t="shared" si="13"/>
        <v>2</v>
      </c>
    </row>
    <row r="71" ht="12.75" customHeight="1">
      <c r="B71" s="6" t="s">
        <v>64</v>
      </c>
      <c r="E71" s="6">
        <v>3.0</v>
      </c>
      <c r="F71" s="6">
        <f t="shared" si="13"/>
        <v>3</v>
      </c>
    </row>
    <row r="72" ht="12.75" customHeight="1">
      <c r="B72" s="6" t="s">
        <v>65</v>
      </c>
      <c r="E72" s="6">
        <v>4.0</v>
      </c>
      <c r="F72" s="6">
        <f t="shared" si="13"/>
        <v>4</v>
      </c>
    </row>
    <row r="73" ht="12.75" customHeight="1"/>
    <row r="74" ht="12.75" customHeight="1">
      <c r="A74" s="5">
        <v>13.0</v>
      </c>
      <c r="B74" s="5" t="s">
        <v>66</v>
      </c>
      <c r="C74" s="5"/>
      <c r="D74" s="5"/>
      <c r="E74" s="5"/>
      <c r="F74" s="5"/>
      <c r="G74" s="5">
        <f>sum(C75:C77)</f>
        <v>1</v>
      </c>
      <c r="H74" s="5">
        <f>max(F75:F77)</f>
        <v>2</v>
      </c>
    </row>
    <row r="75" ht="12.75" customHeight="1">
      <c r="B75" s="6" t="s">
        <v>67</v>
      </c>
      <c r="C75" s="6">
        <v>1.0</v>
      </c>
      <c r="F75" s="6">
        <f t="shared" ref="F75:F77" si="14">if(n(E75),E75,sum(C75:D75))</f>
        <v>1</v>
      </c>
    </row>
    <row r="76" ht="12.75" customHeight="1">
      <c r="B76" s="6" t="s">
        <v>68</v>
      </c>
      <c r="E76" s="6">
        <v>2.0</v>
      </c>
      <c r="F76" s="6">
        <f t="shared" si="14"/>
        <v>2</v>
      </c>
      <c r="I76" s="8">
        <v>2.0</v>
      </c>
    </row>
    <row r="77" ht="12.75" customHeight="1">
      <c r="B77" s="6" t="s">
        <v>69</v>
      </c>
      <c r="E77" s="6">
        <v>1.0</v>
      </c>
      <c r="F77" s="6">
        <f t="shared" si="14"/>
        <v>1</v>
      </c>
    </row>
    <row r="78" ht="13.5" customHeight="1">
      <c r="B78" s="6" t="s">
        <v>70</v>
      </c>
    </row>
    <row r="79" ht="12.75" customHeight="1">
      <c r="A79" s="5">
        <v>14.0</v>
      </c>
      <c r="B79" s="5" t="s">
        <v>71</v>
      </c>
      <c r="C79" s="5"/>
      <c r="D79" s="5"/>
      <c r="E79" s="5"/>
      <c r="F79" s="5"/>
      <c r="G79" s="5">
        <f>sum(C80:C82)</f>
        <v>1</v>
      </c>
      <c r="H79" s="5">
        <f>max(F80:F82)</f>
        <v>2</v>
      </c>
    </row>
    <row r="80" ht="12.75" customHeight="1">
      <c r="B80" s="6" t="s">
        <v>72</v>
      </c>
      <c r="C80" s="6">
        <v>1.0</v>
      </c>
      <c r="F80" s="6">
        <f t="shared" ref="F80:F81" si="15">if(n(E80),E80,sum(C80:D80))</f>
        <v>1</v>
      </c>
    </row>
    <row r="81" ht="12.75" customHeight="1">
      <c r="B81" s="6" t="s">
        <v>73</v>
      </c>
      <c r="E81" s="6">
        <v>2.0</v>
      </c>
      <c r="F81" s="6">
        <f t="shared" si="15"/>
        <v>2</v>
      </c>
    </row>
    <row r="82" ht="12.75" customHeight="1"/>
    <row r="83" ht="12.75" customHeight="1">
      <c r="A83" s="5">
        <v>15.0</v>
      </c>
      <c r="B83" s="5" t="s">
        <v>74</v>
      </c>
      <c r="C83" s="5"/>
      <c r="D83" s="5"/>
      <c r="E83" s="5"/>
      <c r="F83" s="5"/>
      <c r="G83" s="5">
        <f>sum(C84:C86)</f>
        <v>1</v>
      </c>
      <c r="H83" s="5">
        <f>max(F84:F86)</f>
        <v>1</v>
      </c>
    </row>
    <row r="84" ht="12.75" customHeight="1">
      <c r="B84" s="6" t="s">
        <v>75</v>
      </c>
      <c r="E84" s="6">
        <v>1.0</v>
      </c>
      <c r="F84" s="6">
        <f>if(n(E84),E84,sum(C84:E84))</f>
        <v>1</v>
      </c>
    </row>
    <row r="85" ht="12.75" customHeight="1">
      <c r="B85" s="6" t="s">
        <v>76</v>
      </c>
      <c r="C85" s="6">
        <v>1.0</v>
      </c>
      <c r="F85" s="6">
        <f>if(n(E85),E85,sum(C85:D85))</f>
        <v>1</v>
      </c>
    </row>
    <row r="86" ht="12.75" customHeight="1"/>
    <row r="87" ht="12.75" customHeight="1">
      <c r="A87" s="5">
        <v>16.0</v>
      </c>
      <c r="B87" s="5" t="s">
        <v>77</v>
      </c>
      <c r="C87" s="5"/>
      <c r="D87" s="5"/>
      <c r="E87" s="5"/>
      <c r="F87" s="5"/>
      <c r="G87" s="5">
        <f>sum(C88:C93)</f>
        <v>1</v>
      </c>
      <c r="H87" s="5">
        <f>max(F88:F90)+F91+F92</f>
        <v>7</v>
      </c>
    </row>
    <row r="88" ht="12.75" customHeight="1">
      <c r="B88" s="6" t="s">
        <v>78</v>
      </c>
      <c r="C88" s="6">
        <v>1.0</v>
      </c>
      <c r="F88" s="6">
        <f t="shared" ref="F88:F90" si="16">if(n(E88),E88,sum(C88:D88))</f>
        <v>1</v>
      </c>
    </row>
    <row r="89" ht="12.75" customHeight="1">
      <c r="B89" s="6" t="s">
        <v>79</v>
      </c>
      <c r="E89" s="6">
        <v>1.0</v>
      </c>
      <c r="F89" s="6">
        <f t="shared" si="16"/>
        <v>1</v>
      </c>
    </row>
    <row r="90" ht="12.75" customHeight="1">
      <c r="B90" s="6" t="s">
        <v>80</v>
      </c>
      <c r="E90" s="6">
        <v>2.0</v>
      </c>
      <c r="F90" s="6">
        <f t="shared" si="16"/>
        <v>2</v>
      </c>
    </row>
    <row r="91" ht="12.75" customHeight="1">
      <c r="B91" s="11" t="s">
        <v>81</v>
      </c>
      <c r="C91" s="12"/>
      <c r="D91" s="13">
        <v>2.0</v>
      </c>
      <c r="F91" s="13">
        <v>2.0</v>
      </c>
    </row>
    <row r="92" ht="12.75" customHeight="1">
      <c r="B92" s="11" t="s">
        <v>82</v>
      </c>
      <c r="C92" s="12"/>
      <c r="D92" s="13">
        <v>3.0</v>
      </c>
      <c r="F92" s="13">
        <v>3.0</v>
      </c>
    </row>
    <row r="93" ht="12.75" customHeight="1"/>
    <row r="94" ht="12.75" customHeight="1">
      <c r="A94" s="5">
        <v>17.0</v>
      </c>
      <c r="B94" s="5" t="s">
        <v>83</v>
      </c>
      <c r="C94" s="5"/>
      <c r="D94" s="5"/>
      <c r="E94" s="5"/>
      <c r="F94" s="5"/>
      <c r="G94" s="5">
        <f>sum(C95:C98)</f>
        <v>1</v>
      </c>
      <c r="H94" s="5">
        <f>max(F95:F98)</f>
        <v>3</v>
      </c>
    </row>
    <row r="95" ht="12.75" customHeight="1">
      <c r="B95" s="6" t="s">
        <v>84</v>
      </c>
      <c r="C95" s="6">
        <v>1.0</v>
      </c>
      <c r="F95" s="6">
        <f t="shared" ref="F95:F98" si="17">if(n(E95),E95,sum(C95:E95))</f>
        <v>1</v>
      </c>
    </row>
    <row r="96" ht="12.75" customHeight="1">
      <c r="B96" s="6" t="s">
        <v>85</v>
      </c>
      <c r="E96" s="6">
        <v>1.0</v>
      </c>
      <c r="F96" s="6">
        <f t="shared" si="17"/>
        <v>1</v>
      </c>
      <c r="I96" s="8">
        <v>1.0</v>
      </c>
    </row>
    <row r="97" ht="12.75" customHeight="1">
      <c r="B97" s="6" t="s">
        <v>86</v>
      </c>
      <c r="E97" s="6">
        <v>2.0</v>
      </c>
      <c r="F97" s="6">
        <f t="shared" si="17"/>
        <v>2</v>
      </c>
    </row>
    <row r="98" ht="12.75" customHeight="1">
      <c r="B98" s="6" t="s">
        <v>87</v>
      </c>
      <c r="E98" s="6">
        <v>3.0</v>
      </c>
      <c r="F98" s="6">
        <f t="shared" si="17"/>
        <v>3</v>
      </c>
    </row>
    <row r="99" ht="12.75" customHeight="1"/>
    <row r="100" ht="12.75" customHeight="1">
      <c r="A100" s="5">
        <v>18.0</v>
      </c>
      <c r="B100" s="5" t="s">
        <v>88</v>
      </c>
      <c r="C100" s="5"/>
      <c r="D100" s="5"/>
      <c r="E100" s="5"/>
      <c r="F100" s="5"/>
      <c r="G100" s="5">
        <f>sum(C101:C104)</f>
        <v>0</v>
      </c>
      <c r="H100" s="5">
        <f>max(F101:F104)</f>
        <v>1</v>
      </c>
    </row>
    <row r="101" ht="12.75" customHeight="1">
      <c r="B101" s="6" t="s">
        <v>89</v>
      </c>
      <c r="E101" s="6">
        <v>1.0</v>
      </c>
      <c r="F101" s="6">
        <f t="shared" ref="F101:F104" si="18">if(n(E101),E101,sum(C101:E101))</f>
        <v>1</v>
      </c>
    </row>
    <row r="102" ht="12.75" customHeight="1">
      <c r="B102" s="6" t="s">
        <v>90</v>
      </c>
      <c r="E102" s="6">
        <v>1.0</v>
      </c>
      <c r="F102" s="6">
        <f t="shared" si="18"/>
        <v>1</v>
      </c>
    </row>
    <row r="103" ht="12.75" customHeight="1">
      <c r="B103" s="6" t="s">
        <v>91</v>
      </c>
      <c r="E103" s="6">
        <v>1.0</v>
      </c>
      <c r="F103" s="6">
        <f t="shared" si="18"/>
        <v>1</v>
      </c>
    </row>
    <row r="104" ht="12.75" customHeight="1">
      <c r="B104" s="6" t="s">
        <v>92</v>
      </c>
      <c r="E104" s="6">
        <v>1.0</v>
      </c>
      <c r="F104" s="6">
        <f t="shared" si="18"/>
        <v>1</v>
      </c>
    </row>
    <row r="105" ht="12.75" customHeight="1"/>
    <row r="106" ht="12.75" customHeight="1">
      <c r="A106" s="5">
        <v>19.0</v>
      </c>
      <c r="B106" s="5" t="s">
        <v>93</v>
      </c>
      <c r="C106" s="5"/>
      <c r="D106" s="5"/>
      <c r="E106" s="5"/>
      <c r="F106" s="5"/>
      <c r="G106" s="5">
        <f>sum(C107:C108)</f>
        <v>3</v>
      </c>
      <c r="H106" s="5">
        <f>sum(F107:F108)</f>
        <v>3</v>
      </c>
    </row>
    <row r="107" ht="12.75" customHeight="1">
      <c r="B107" s="6" t="s">
        <v>94</v>
      </c>
      <c r="C107" s="6">
        <v>1.0</v>
      </c>
      <c r="F107" s="6">
        <f t="shared" ref="F107:F108" si="19">if(n(E107),E107,sum(C107:D107))</f>
        <v>1</v>
      </c>
    </row>
    <row r="108" ht="12.75" customHeight="1">
      <c r="B108" s="6" t="s">
        <v>95</v>
      </c>
      <c r="C108" s="6">
        <v>2.0</v>
      </c>
      <c r="F108" s="6">
        <f t="shared" si="19"/>
        <v>2</v>
      </c>
    </row>
    <row r="109" ht="12.75" customHeight="1"/>
    <row r="110" ht="12.75" customHeight="1">
      <c r="A110" s="5">
        <v>20.0</v>
      </c>
      <c r="B110" s="5" t="s">
        <v>96</v>
      </c>
      <c r="C110" s="5"/>
      <c r="D110" s="5"/>
      <c r="E110" s="5"/>
      <c r="F110" s="5"/>
      <c r="G110" s="5">
        <f>SUM(C111:C118)</f>
        <v>0</v>
      </c>
    </row>
    <row r="111" ht="12.75" customHeight="1">
      <c r="B111" s="5" t="s">
        <v>97</v>
      </c>
      <c r="C111" s="5"/>
      <c r="D111" s="5"/>
      <c r="E111" s="5"/>
      <c r="F111" s="5"/>
      <c r="G111" s="5"/>
      <c r="H111" s="14">
        <f>MAX(F112:F113)</f>
        <v>2</v>
      </c>
    </row>
    <row r="112" ht="12.75" customHeight="1">
      <c r="B112" s="6" t="s">
        <v>98</v>
      </c>
      <c r="E112" s="6">
        <v>1.0</v>
      </c>
      <c r="F112" s="6">
        <f t="shared" ref="F112:F113" si="20">if(n(E112),E112,sum(C112:E112))</f>
        <v>1</v>
      </c>
    </row>
    <row r="113" ht="12.75" customHeight="1">
      <c r="B113" s="6" t="s">
        <v>99</v>
      </c>
      <c r="E113" s="6">
        <v>2.0</v>
      </c>
      <c r="F113" s="6">
        <f t="shared" si="20"/>
        <v>2</v>
      </c>
    </row>
    <row r="114" ht="12.75" customHeight="1">
      <c r="B114" s="15" t="s">
        <v>100</v>
      </c>
      <c r="C114" s="5"/>
      <c r="D114" s="5"/>
      <c r="E114" s="5"/>
      <c r="F114" s="5"/>
      <c r="G114" s="5"/>
      <c r="H114" s="14">
        <f>F115</f>
        <v>3</v>
      </c>
    </row>
    <row r="115" ht="12.75" customHeight="1">
      <c r="B115" s="6" t="s">
        <v>101</v>
      </c>
      <c r="E115" s="6">
        <v>3.0</v>
      </c>
      <c r="F115" s="6">
        <f>if(n(E115),E115,sum(C115:E115))</f>
        <v>3</v>
      </c>
    </row>
    <row r="116" ht="12.75" customHeight="1">
      <c r="B116" s="5" t="s">
        <v>102</v>
      </c>
      <c r="C116" s="5"/>
      <c r="D116" s="5"/>
      <c r="E116" s="5"/>
      <c r="F116" s="5"/>
      <c r="G116" s="5"/>
      <c r="H116" s="14">
        <f>MAX(F117:F118)</f>
        <v>2</v>
      </c>
    </row>
    <row r="117" ht="12.75" customHeight="1">
      <c r="B117" s="6" t="s">
        <v>103</v>
      </c>
      <c r="E117" s="6">
        <v>2.0</v>
      </c>
      <c r="F117" s="6">
        <f t="shared" ref="F117:F118" si="21">if(n(E117),E117,sum(C117:E117))</f>
        <v>2</v>
      </c>
    </row>
    <row r="118" ht="12.75" customHeight="1">
      <c r="B118" s="6" t="s">
        <v>104</v>
      </c>
      <c r="E118" s="6">
        <v>2.0</v>
      </c>
      <c r="F118" s="6">
        <f t="shared" si="21"/>
        <v>2</v>
      </c>
    </row>
    <row r="119" ht="12.75" customHeight="1"/>
    <row r="120" ht="12.75" customHeight="1">
      <c r="A120" s="5">
        <v>21.0</v>
      </c>
      <c r="B120" s="5" t="s">
        <v>105</v>
      </c>
      <c r="C120" s="5"/>
      <c r="D120" s="5"/>
      <c r="E120" s="5"/>
      <c r="F120" s="5"/>
      <c r="G120" s="5">
        <f>sum(C121:C123)</f>
        <v>0</v>
      </c>
      <c r="H120" s="16">
        <f>max(F121:F123)</f>
        <v>3</v>
      </c>
    </row>
    <row r="121" ht="12.75" customHeight="1">
      <c r="B121" s="6" t="s">
        <v>106</v>
      </c>
      <c r="E121" s="17">
        <v>3.0</v>
      </c>
      <c r="F121" s="17">
        <f t="shared" ref="F121:F122" si="22">if(n(E121),E121,sum(C121:E121))</f>
        <v>3</v>
      </c>
    </row>
    <row r="122" ht="12.75" customHeight="1">
      <c r="B122" s="6" t="s">
        <v>107</v>
      </c>
      <c r="E122" s="6">
        <v>1.0</v>
      </c>
      <c r="F122" s="6">
        <f t="shared" si="22"/>
        <v>1</v>
      </c>
    </row>
    <row r="123" ht="12.75" customHeight="1"/>
    <row r="124" ht="12.75" customHeight="1">
      <c r="A124" s="5">
        <v>22.0</v>
      </c>
      <c r="B124" s="5" t="s">
        <v>108</v>
      </c>
      <c r="C124" s="5"/>
      <c r="D124" s="5"/>
      <c r="E124" s="5"/>
      <c r="F124" s="5"/>
      <c r="G124" s="5">
        <f>sum(C125:C127)</f>
        <v>0</v>
      </c>
      <c r="H124" s="5">
        <f>max(F125:F127)</f>
        <v>0</v>
      </c>
    </row>
    <row r="125" ht="12.75" customHeight="1">
      <c r="B125" s="6" t="s">
        <v>109</v>
      </c>
      <c r="F125" s="6">
        <f t="shared" ref="F125:F126" si="23">if(n(E125),E125,sum(C125:D125))</f>
        <v>0</v>
      </c>
    </row>
    <row r="126" ht="12.75" customHeight="1">
      <c r="B126" s="6" t="s">
        <v>110</v>
      </c>
      <c r="F126" s="6">
        <f t="shared" si="23"/>
        <v>0</v>
      </c>
    </row>
    <row r="127" ht="12.75" customHeight="1"/>
    <row r="128" ht="12.75" customHeight="1">
      <c r="A128" s="5">
        <v>23.0</v>
      </c>
      <c r="B128" s="5" t="s">
        <v>111</v>
      </c>
      <c r="C128" s="5">
        <v>1.0</v>
      </c>
      <c r="D128" s="5"/>
      <c r="E128" s="5"/>
      <c r="F128" s="5"/>
      <c r="G128" s="5">
        <v>1.0</v>
      </c>
      <c r="H128" s="5">
        <v>1.0</v>
      </c>
    </row>
    <row r="129" ht="12.75" customHeight="1">
      <c r="B129" s="6" t="s">
        <v>112</v>
      </c>
      <c r="C129" s="6">
        <v>0.0</v>
      </c>
      <c r="F129" s="6">
        <f t="shared" ref="F129:F132" si="24">if(n(E129),E129,sum(C129:D129))</f>
        <v>0</v>
      </c>
    </row>
    <row r="130" ht="12.75" customHeight="1">
      <c r="B130" s="6" t="s">
        <v>113</v>
      </c>
      <c r="C130" s="6">
        <v>0.0</v>
      </c>
      <c r="F130" s="6">
        <f t="shared" si="24"/>
        <v>0</v>
      </c>
    </row>
    <row r="131" ht="12.75" customHeight="1">
      <c r="B131" s="6" t="s">
        <v>114</v>
      </c>
      <c r="C131" s="6">
        <v>0.0</v>
      </c>
      <c r="F131" s="6">
        <f t="shared" si="24"/>
        <v>0</v>
      </c>
    </row>
    <row r="132" ht="12.75" customHeight="1">
      <c r="B132" s="6" t="s">
        <v>115</v>
      </c>
      <c r="C132" s="6">
        <v>0.0</v>
      </c>
      <c r="F132" s="6">
        <f t="shared" si="24"/>
        <v>0</v>
      </c>
    </row>
    <row r="133" ht="12.75" customHeight="1"/>
    <row r="134" ht="12.75" customHeight="1">
      <c r="A134" s="5">
        <v>24.0</v>
      </c>
      <c r="B134" s="5" t="s">
        <v>116</v>
      </c>
      <c r="C134" s="5">
        <v>0.0</v>
      </c>
      <c r="D134" s="5"/>
      <c r="E134" s="5"/>
      <c r="F134" s="5"/>
      <c r="G134" s="5">
        <f>C134</f>
        <v>0</v>
      </c>
      <c r="H134" s="5" t="str">
        <f>F134</f>
        <v/>
      </c>
    </row>
    <row r="135" ht="12.75" customHeight="1"/>
    <row r="136" ht="12.75" customHeight="1"/>
    <row r="137" ht="12.75" customHeight="1"/>
    <row r="138" ht="12.75" customHeight="1"/>
    <row r="139" ht="12.75" customHeight="1">
      <c r="A139" s="6" t="s">
        <v>117</v>
      </c>
    </row>
    <row r="140" ht="12.75" customHeight="1">
      <c r="B140" s="6" t="s">
        <v>118</v>
      </c>
    </row>
    <row r="141" ht="12.75" customHeight="1">
      <c r="B141" s="6" t="s">
        <v>119</v>
      </c>
    </row>
    <row r="142" ht="12.75" customHeight="1">
      <c r="B142" s="6" t="s">
        <v>120</v>
      </c>
    </row>
    <row r="143" ht="12.75" customHeight="1">
      <c r="B143" s="6" t="s">
        <v>121</v>
      </c>
    </row>
    <row r="144" ht="12.75" customHeight="1">
      <c r="B144" s="18" t="s">
        <v>122</v>
      </c>
    </row>
    <row r="145" ht="12.75" customHeight="1">
      <c r="B145" s="19" t="s">
        <v>123</v>
      </c>
    </row>
    <row r="146" ht="12.75" customHeight="1">
      <c r="B146" s="20" t="s">
        <v>124</v>
      </c>
    </row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9">
    <mergeCell ref="B145:H145"/>
    <mergeCell ref="B146:H146"/>
    <mergeCell ref="B1:E1"/>
    <mergeCell ref="A139:B139"/>
    <mergeCell ref="B140:H140"/>
    <mergeCell ref="B141:H141"/>
    <mergeCell ref="B142:H142"/>
    <mergeCell ref="B143:H143"/>
    <mergeCell ref="B144:H144"/>
  </mergeCells>
  <printOptions gridLines="1" horizontalCentered="1"/>
  <pageMargins bottom="0.75" footer="0.0" header="0.0" left="0.7" right="0.7" top="0.75"/>
  <pageSetup fitToHeight="0" paperSize="9" cellComments="atEnd" orientation="portrait" pageOrder="overThenDown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6" width="15.13"/>
  </cols>
  <sheetData>
    <row r="1" ht="12.75" customHeight="1"/>
    <row r="2" ht="12.75" customHeight="1"/>
    <row r="3" ht="12.75" customHeight="1"/>
    <row r="4" ht="12.75" customHeight="1"/>
    <row r="5" ht="12.75" customHeight="1"/>
    <row r="6" ht="12.75" customHeight="1"/>
    <row r="7" ht="12.75" customHeight="1"/>
    <row r="8" ht="12.75" customHeight="1"/>
    <row r="9" ht="12.75" customHeight="1"/>
    <row r="10" ht="12.75" customHeight="1"/>
    <row r="11" ht="12.75" customHeight="1"/>
    <row r="12" ht="12.75" customHeight="1"/>
    <row r="13" ht="12.75" customHeight="1"/>
    <row r="14" ht="12.75" customHeight="1"/>
    <row r="15" ht="12.75" customHeight="1"/>
    <row r="16" ht="12.75" customHeight="1"/>
    <row r="17" ht="12.75" customHeight="1"/>
    <row r="18" ht="12.75" customHeight="1"/>
    <row r="19" ht="12.75" customHeight="1"/>
    <row r="20" ht="12.75" customHeight="1"/>
    <row r="21" ht="12.75" customHeight="1"/>
    <row r="22" ht="12.75" customHeight="1"/>
    <row r="23" ht="12.75" customHeight="1"/>
    <row r="24" ht="12.75" customHeight="1"/>
    <row r="25" ht="12.75" customHeight="1"/>
    <row r="26" ht="12.75" customHeight="1"/>
    <row r="27" ht="12.75" customHeight="1"/>
    <row r="28" ht="12.75" customHeight="1"/>
    <row r="29" ht="12.75" customHeight="1"/>
    <row r="30" ht="12.75" customHeight="1"/>
    <row r="31" ht="12.75" customHeight="1"/>
    <row r="32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drawing r:id="rId1"/>
</worksheet>
</file>